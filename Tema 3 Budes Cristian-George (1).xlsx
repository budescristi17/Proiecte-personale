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Budes\Downloads\"/>
    </mc:Choice>
  </mc:AlternateContent>
  <xr:revisionPtr revIDLastSave="0" documentId="8_{AABDAC9F-6DA9-4179-9065-F3CA775DDD95}" xr6:coauthVersionLast="47" xr6:coauthVersionMax="47" xr10:uidLastSave="{00000000-0000-0000-0000-000000000000}"/>
  <bookViews>
    <workbookView xWindow="14295" yWindow="0" windowWidth="14610" windowHeight="15585" xr2:uid="{096B66F8-7CC4-4BCA-BE90-2B8EA5246135}"/>
  </bookViews>
  <sheets>
    <sheet name="Foai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66" i="1" l="1"/>
  <c r="B65" i="1"/>
  <c r="B64" i="1"/>
  <c r="C24" i="1"/>
  <c r="C25" i="1" s="1"/>
  <c r="C20" i="1"/>
  <c r="B62" i="1"/>
  <c r="B61" i="1"/>
  <c r="B60" i="1"/>
  <c r="B46" i="1"/>
  <c r="B48" i="1" s="1"/>
  <c r="B45" i="1"/>
  <c r="B42" i="1"/>
  <c r="B41" i="1"/>
  <c r="B40" i="1"/>
  <c r="C36" i="1"/>
  <c r="B36" i="1"/>
  <c r="C33" i="1"/>
  <c r="B33" i="1"/>
  <c r="C23" i="1"/>
  <c r="C21" i="1"/>
  <c r="C19" i="1"/>
  <c r="D17" i="1"/>
  <c r="B16" i="1"/>
  <c r="B15" i="1"/>
  <c r="D13" i="1"/>
  <c r="B12" i="1"/>
  <c r="B11" i="1"/>
</calcChain>
</file>

<file path=xl/sharedStrings.xml><?xml version="1.0" encoding="utf-8"?>
<sst xmlns="http://schemas.openxmlformats.org/spreadsheetml/2006/main" count="94" uniqueCount="59">
  <si>
    <t>1) Metoda producției</t>
  </si>
  <si>
    <t>Indicatori(exprimați în milioane lei)</t>
  </si>
  <si>
    <t>PB(0)</t>
  </si>
  <si>
    <t>PC(1)</t>
  </si>
  <si>
    <t>Produsul global pf</t>
  </si>
  <si>
    <t>Consum intermediar pf</t>
  </si>
  <si>
    <t>Impozite indirecte</t>
  </si>
  <si>
    <t>Calcularea PIB ului regional prin cele 3 metode de calcul</t>
  </si>
  <si>
    <t>Subvenții</t>
  </si>
  <si>
    <t>Deflator</t>
  </si>
  <si>
    <t>PIB=PGB-CI</t>
  </si>
  <si>
    <t>PIBnominalpf0</t>
  </si>
  <si>
    <t>PIBnominalpf1</t>
  </si>
  <si>
    <t>IPIBnominalpf=PIBnominalpf1/PIBnominalpf0</t>
  </si>
  <si>
    <t>PIBpp=PIBpf+IIN=PIBpf+II-Sv</t>
  </si>
  <si>
    <t>PIBnominalpp0</t>
  </si>
  <si>
    <t>PIBnominalpp1</t>
  </si>
  <si>
    <t>IPIBnominalpp=PIBnominalpp1/PIBnominalpp0</t>
  </si>
  <si>
    <t>PIBreal=PIBnominal/D</t>
  </si>
  <si>
    <t>PIBrealpf0=PIBnominalpf0</t>
  </si>
  <si>
    <t>PIB realpf1=PIBnominalpf11/D</t>
  </si>
  <si>
    <t>PIBrealpp=PIBnominalpp/D</t>
  </si>
  <si>
    <t>PIBrealpp0=PIBnominalpp0</t>
  </si>
  <si>
    <t>PIBrealpp1=PIBnominalpp1/D</t>
  </si>
  <si>
    <t>IPIBrealpp=PIBrealpp1/PIBrealpp0</t>
  </si>
  <si>
    <t>CE1</t>
  </si>
  <si>
    <t>165,4%</t>
  </si>
  <si>
    <t>CE2</t>
  </si>
  <si>
    <t>%</t>
  </si>
  <si>
    <t>Export</t>
  </si>
  <si>
    <t>Import</t>
  </si>
  <si>
    <t xml:space="preserve">Deflator </t>
  </si>
  <si>
    <t>2)Metoda cheltuielilor</t>
  </si>
  <si>
    <t>Consum final</t>
  </si>
  <si>
    <t>Indicatori (mil lei pc)</t>
  </si>
  <si>
    <t>FBCF</t>
  </si>
  <si>
    <t>Vs</t>
  </si>
  <si>
    <t>ACH - OV</t>
  </si>
  <si>
    <t>FBC</t>
  </si>
  <si>
    <t>EXN</t>
  </si>
  <si>
    <t>PIBpp=CF+FBC+EXN</t>
  </si>
  <si>
    <t>mil lei</t>
  </si>
  <si>
    <t>I PIBnominalpp</t>
  </si>
  <si>
    <t>IPIBrealpp</t>
  </si>
  <si>
    <t>3)Metoda veniturilor</t>
  </si>
  <si>
    <t>Remunerarea salariaților (R)</t>
  </si>
  <si>
    <t>Alte impozite pe producție</t>
  </si>
  <si>
    <t>Alte subvenții pe producție</t>
  </si>
  <si>
    <t>EBE+VM</t>
  </si>
  <si>
    <t>Impozite pe produs</t>
  </si>
  <si>
    <t>Subvenții pe produs</t>
  </si>
  <si>
    <t>IPIBnominalpp</t>
  </si>
  <si>
    <t>PIBrealpp0</t>
  </si>
  <si>
    <t>PIBrealpp1</t>
  </si>
  <si>
    <t>PIBnominal/PIBreal * 100</t>
  </si>
  <si>
    <t>CE3</t>
  </si>
  <si>
    <t>CE4</t>
  </si>
  <si>
    <t>IPIBrealpf=PIBrealpf1/PIBrealpf0</t>
  </si>
  <si>
    <t>150,9%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</si>
</sst>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i/>
      <sz val="11"/>
      <color rgb="FFC00000"/>
      <name val="Calibri"/>
      <family val="2"/>
      <charset val="238"/>
      <scheme val="minor"/>
    </font>
    <font>
      <sz val="11"/>
      <color rgb="FFC00000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9" fontId="0" fillId="0" borderId="0" xfId="0" applyNumberFormat="1"/>
    <xf numFmtId="0" fontId="4" fillId="0" borderId="0" xfId="0" applyFon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ă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5F3C90-C59F-45FD-BC9E-5670285D4DAF}">
  <dimension ref="A1:F66"/>
  <sheetViews>
    <sheetView tabSelected="1" topLeftCell="A16" zoomScale="130" zoomScaleNormal="130" workbookViewId="0">
      <selection activeCell="C49" sqref="C49"/>
    </sheetView>
  </sheetViews>
  <sheetFormatPr defaultRowHeight="15" x14ac:dyDescent="0.25"/>
  <cols>
    <col min="1" max="1" width="27.42578125" customWidth="1"/>
    <col min="2" max="2" width="11" bestFit="1" customWidth="1"/>
    <col min="3" max="3" width="11.42578125" customWidth="1"/>
    <col min="4" max="4" width="13.42578125" customWidth="1"/>
  </cols>
  <sheetData>
    <row r="1" spans="1:6" x14ac:dyDescent="0.25">
      <c r="A1" t="s">
        <v>7</v>
      </c>
    </row>
    <row r="2" spans="1:6" x14ac:dyDescent="0.25">
      <c r="A2" s="1" t="s">
        <v>0</v>
      </c>
    </row>
    <row r="3" spans="1:6" x14ac:dyDescent="0.25">
      <c r="A3" t="s">
        <v>1</v>
      </c>
      <c r="C3" t="s">
        <v>2</v>
      </c>
      <c r="D3" t="s">
        <v>3</v>
      </c>
    </row>
    <row r="4" spans="1:6" x14ac:dyDescent="0.25">
      <c r="A4" t="s">
        <v>4</v>
      </c>
      <c r="C4">
        <v>244123.05</v>
      </c>
      <c r="D4">
        <v>400767.58</v>
      </c>
    </row>
    <row r="5" spans="1:6" x14ac:dyDescent="0.25">
      <c r="A5" t="s">
        <v>5</v>
      </c>
      <c r="C5">
        <v>123648.21</v>
      </c>
      <c r="D5">
        <v>201503.09</v>
      </c>
    </row>
    <row r="6" spans="1:6" x14ac:dyDescent="0.25">
      <c r="A6" t="s">
        <v>6</v>
      </c>
      <c r="C6">
        <v>12804.69</v>
      </c>
      <c r="D6">
        <v>21917.09</v>
      </c>
    </row>
    <row r="7" spans="1:6" x14ac:dyDescent="0.25">
      <c r="A7" t="s">
        <v>8</v>
      </c>
      <c r="C7">
        <v>323.19</v>
      </c>
      <c r="D7">
        <v>1283.68</v>
      </c>
    </row>
    <row r="8" spans="1:6" x14ac:dyDescent="0.25">
      <c r="A8" t="s">
        <v>9</v>
      </c>
      <c r="C8">
        <v>109.6</v>
      </c>
      <c r="D8" t="s">
        <v>28</v>
      </c>
      <c r="E8" t="s">
        <v>54</v>
      </c>
    </row>
    <row r="10" spans="1:6" x14ac:dyDescent="0.25">
      <c r="A10" s="3" t="s">
        <v>10</v>
      </c>
    </row>
    <row r="11" spans="1:6" x14ac:dyDescent="0.25">
      <c r="A11" t="s">
        <v>11</v>
      </c>
      <c r="B11">
        <f>C4-C5</f>
        <v>120474.83999999998</v>
      </c>
      <c r="C11" t="s">
        <v>41</v>
      </c>
    </row>
    <row r="12" spans="1:6" x14ac:dyDescent="0.25">
      <c r="A12" t="s">
        <v>12</v>
      </c>
      <c r="B12">
        <f>D4-D5</f>
        <v>199264.49000000002</v>
      </c>
      <c r="C12" t="s">
        <v>41</v>
      </c>
    </row>
    <row r="13" spans="1:6" x14ac:dyDescent="0.25">
      <c r="A13" s="3" t="s">
        <v>13</v>
      </c>
      <c r="D13">
        <f>B12/B11</f>
        <v>1.6539925680747951</v>
      </c>
      <c r="E13" s="4" t="s">
        <v>26</v>
      </c>
      <c r="F13" t="s">
        <v>25</v>
      </c>
    </row>
    <row r="14" spans="1:6" x14ac:dyDescent="0.25">
      <c r="A14" s="3" t="s">
        <v>14</v>
      </c>
    </row>
    <row r="15" spans="1:6" x14ac:dyDescent="0.25">
      <c r="A15" s="2" t="s">
        <v>15</v>
      </c>
      <c r="B15">
        <f>B11+C6-C7</f>
        <v>132956.33999999997</v>
      </c>
      <c r="C15" t="s">
        <v>41</v>
      </c>
    </row>
    <row r="16" spans="1:6" x14ac:dyDescent="0.25">
      <c r="A16" t="s">
        <v>16</v>
      </c>
      <c r="B16">
        <f>B12+D6-D7</f>
        <v>219897.90000000002</v>
      </c>
      <c r="C16" t="s">
        <v>41</v>
      </c>
    </row>
    <row r="17" spans="1:6" x14ac:dyDescent="0.25">
      <c r="A17" s="3" t="s">
        <v>17</v>
      </c>
      <c r="D17">
        <f>B16/B15</f>
        <v>1.6539105995246264</v>
      </c>
      <c r="E17" s="6" t="s">
        <v>26</v>
      </c>
      <c r="F17" t="s">
        <v>27</v>
      </c>
    </row>
    <row r="18" spans="1:6" x14ac:dyDescent="0.25">
      <c r="A18" s="3" t="s">
        <v>18</v>
      </c>
    </row>
    <row r="19" spans="1:6" x14ac:dyDescent="0.25">
      <c r="A19" s="2" t="s">
        <v>19</v>
      </c>
      <c r="C19">
        <f>B11</f>
        <v>120474.83999999998</v>
      </c>
      <c r="D19" t="s">
        <v>41</v>
      </c>
    </row>
    <row r="20" spans="1:6" x14ac:dyDescent="0.25">
      <c r="A20" s="2" t="s">
        <v>20</v>
      </c>
      <c r="C20">
        <f>B12/1.096</f>
        <v>181810.66605839416</v>
      </c>
      <c r="D20" t="s">
        <v>41</v>
      </c>
    </row>
    <row r="21" spans="1:6" x14ac:dyDescent="0.25">
      <c r="A21" s="3" t="s">
        <v>57</v>
      </c>
      <c r="C21">
        <f>C20/C19</f>
        <v>1.5091173066375867</v>
      </c>
      <c r="D21" s="6">
        <v>1.51</v>
      </c>
      <c r="E21" t="s">
        <v>55</v>
      </c>
    </row>
    <row r="22" spans="1:6" x14ac:dyDescent="0.25">
      <c r="A22" s="3" t="s">
        <v>21</v>
      </c>
    </row>
    <row r="23" spans="1:6" x14ac:dyDescent="0.25">
      <c r="A23" s="2" t="s">
        <v>22</v>
      </c>
      <c r="C23">
        <f>B15</f>
        <v>132956.33999999997</v>
      </c>
      <c r="D23" t="s">
        <v>41</v>
      </c>
    </row>
    <row r="24" spans="1:6" x14ac:dyDescent="0.25">
      <c r="A24" s="2" t="s">
        <v>23</v>
      </c>
      <c r="C24">
        <f>B16/1.096</f>
        <v>200636.77007299272</v>
      </c>
      <c r="D24" t="s">
        <v>41</v>
      </c>
    </row>
    <row r="25" spans="1:6" x14ac:dyDescent="0.25">
      <c r="A25" s="3" t="s">
        <v>24</v>
      </c>
      <c r="C25">
        <f>C24/C23</f>
        <v>1.5090425178144402</v>
      </c>
      <c r="D25" s="4">
        <v>1.5090399999999999</v>
      </c>
      <c r="E25" t="s">
        <v>56</v>
      </c>
    </row>
    <row r="27" spans="1:6" x14ac:dyDescent="0.25">
      <c r="A27" s="1" t="s">
        <v>32</v>
      </c>
    </row>
    <row r="28" spans="1:6" x14ac:dyDescent="0.25">
      <c r="A28" t="s">
        <v>34</v>
      </c>
      <c r="B28" t="s">
        <v>2</v>
      </c>
      <c r="C28" t="s">
        <v>3</v>
      </c>
    </row>
    <row r="29" spans="1:6" x14ac:dyDescent="0.25">
      <c r="A29" t="s">
        <v>33</v>
      </c>
      <c r="B29">
        <v>106481.3</v>
      </c>
      <c r="C29">
        <v>178143.5</v>
      </c>
    </row>
    <row r="30" spans="1:6" x14ac:dyDescent="0.25">
      <c r="A30" t="s">
        <v>35</v>
      </c>
      <c r="B30">
        <v>31193.7</v>
      </c>
      <c r="C30">
        <v>55615.8</v>
      </c>
    </row>
    <row r="31" spans="1:6" x14ac:dyDescent="0.25">
      <c r="A31" t="s">
        <v>36</v>
      </c>
      <c r="B31">
        <v>1119.0999999999999</v>
      </c>
      <c r="C31">
        <v>-706.2</v>
      </c>
    </row>
    <row r="32" spans="1:6" x14ac:dyDescent="0.25">
      <c r="A32" t="s">
        <v>37</v>
      </c>
      <c r="B32">
        <v>38.1</v>
      </c>
      <c r="C32">
        <v>58.3</v>
      </c>
    </row>
    <row r="33" spans="1:4" x14ac:dyDescent="0.25">
      <c r="A33" t="s">
        <v>38</v>
      </c>
      <c r="B33">
        <f>SUM(B30:B32)</f>
        <v>32350.899999999998</v>
      </c>
      <c r="C33">
        <f>SUM(C30:C32)</f>
        <v>54967.900000000009</v>
      </c>
    </row>
    <row r="34" spans="1:4" x14ac:dyDescent="0.25">
      <c r="A34" t="s">
        <v>29</v>
      </c>
      <c r="B34">
        <v>49155.5</v>
      </c>
      <c r="C34">
        <v>78290.3</v>
      </c>
    </row>
    <row r="35" spans="1:4" x14ac:dyDescent="0.25">
      <c r="A35" t="s">
        <v>30</v>
      </c>
      <c r="B35">
        <v>55031.3</v>
      </c>
      <c r="C35">
        <v>91503.8</v>
      </c>
    </row>
    <row r="36" spans="1:4" x14ac:dyDescent="0.25">
      <c r="A36" t="s">
        <v>39</v>
      </c>
      <c r="B36">
        <f>B34-B35</f>
        <v>-5875.8000000000029</v>
      </c>
      <c r="C36">
        <f>C34-C35</f>
        <v>-13213.5</v>
      </c>
    </row>
    <row r="37" spans="1:4" x14ac:dyDescent="0.25">
      <c r="A37" t="s">
        <v>9</v>
      </c>
      <c r="B37">
        <v>1.0960000000000001</v>
      </c>
    </row>
    <row r="39" spans="1:4" x14ac:dyDescent="0.25">
      <c r="A39" s="5" t="s">
        <v>40</v>
      </c>
    </row>
    <row r="40" spans="1:4" x14ac:dyDescent="0.25">
      <c r="A40" t="s">
        <v>15</v>
      </c>
      <c r="B40">
        <f>B29+B33+B36</f>
        <v>132956.40000000002</v>
      </c>
      <c r="C40" t="s">
        <v>41</v>
      </c>
    </row>
    <row r="41" spans="1:4" x14ac:dyDescent="0.25">
      <c r="A41" t="s">
        <v>16</v>
      </c>
      <c r="B41">
        <f>C29+C36+C33</f>
        <v>219897.90000000002</v>
      </c>
      <c r="C41" t="s">
        <v>41</v>
      </c>
    </row>
    <row r="42" spans="1:4" x14ac:dyDescent="0.25">
      <c r="A42" t="s">
        <v>42</v>
      </c>
      <c r="B42">
        <f>B41/B40</f>
        <v>1.6539098531548686</v>
      </c>
      <c r="C42" s="6">
        <v>1.6538999999999999</v>
      </c>
      <c r="D42" t="s">
        <v>25</v>
      </c>
    </row>
    <row r="44" spans="1:4" x14ac:dyDescent="0.25">
      <c r="A44" s="5" t="s">
        <v>18</v>
      </c>
    </row>
    <row r="45" spans="1:4" x14ac:dyDescent="0.25">
      <c r="A45" t="s">
        <v>22</v>
      </c>
      <c r="B45">
        <f>B40</f>
        <v>132956.40000000002</v>
      </c>
      <c r="C45" t="s">
        <v>41</v>
      </c>
    </row>
    <row r="46" spans="1:4" x14ac:dyDescent="0.25">
      <c r="A46" t="s">
        <v>23</v>
      </c>
      <c r="B46">
        <f>B41/B37</f>
        <v>200636.77007299272</v>
      </c>
      <c r="C46" t="s">
        <v>41</v>
      </c>
    </row>
    <row r="47" spans="1:4" x14ac:dyDescent="0.25">
      <c r="A47" s="5" t="s">
        <v>24</v>
      </c>
    </row>
    <row r="48" spans="1:4" x14ac:dyDescent="0.25">
      <c r="A48" t="s">
        <v>43</v>
      </c>
      <c r="B48">
        <f>B46/B45</f>
        <v>1.5090418368201357</v>
      </c>
      <c r="C48" s="6">
        <v>1.0589999999999999</v>
      </c>
      <c r="D48" t="s">
        <v>27</v>
      </c>
    </row>
    <row r="50" spans="1:4" x14ac:dyDescent="0.25">
      <c r="A50" s="1" t="s">
        <v>44</v>
      </c>
    </row>
    <row r="51" spans="1:4" x14ac:dyDescent="0.25">
      <c r="A51" t="s">
        <v>34</v>
      </c>
      <c r="B51" t="s">
        <v>2</v>
      </c>
      <c r="C51" t="s">
        <v>3</v>
      </c>
    </row>
    <row r="52" spans="1:4" x14ac:dyDescent="0.25">
      <c r="A52" t="s">
        <v>45</v>
      </c>
      <c r="B52">
        <v>52590.080000000002</v>
      </c>
      <c r="C52">
        <v>91931.57</v>
      </c>
    </row>
    <row r="53" spans="1:4" x14ac:dyDescent="0.25">
      <c r="A53" t="s">
        <v>46</v>
      </c>
      <c r="B53">
        <v>1050.21</v>
      </c>
      <c r="C53">
        <v>2417.9</v>
      </c>
    </row>
    <row r="54" spans="1:4" x14ac:dyDescent="0.25">
      <c r="A54" t="s">
        <v>47</v>
      </c>
      <c r="B54">
        <v>2414.9</v>
      </c>
      <c r="C54">
        <v>1706.26</v>
      </c>
    </row>
    <row r="55" spans="1:4" x14ac:dyDescent="0.25">
      <c r="A55" t="s">
        <v>48</v>
      </c>
      <c r="B55">
        <v>69249.429999999993</v>
      </c>
      <c r="C55">
        <v>106621.28</v>
      </c>
    </row>
    <row r="56" spans="1:4" x14ac:dyDescent="0.25">
      <c r="A56" t="s">
        <v>49</v>
      </c>
      <c r="B56">
        <v>12804.68</v>
      </c>
      <c r="C56">
        <v>21917.08</v>
      </c>
    </row>
    <row r="57" spans="1:4" x14ac:dyDescent="0.25">
      <c r="A57" t="s">
        <v>50</v>
      </c>
      <c r="B57">
        <v>323.18</v>
      </c>
      <c r="C57">
        <v>1283.67</v>
      </c>
    </row>
    <row r="58" spans="1:4" x14ac:dyDescent="0.25">
      <c r="A58" t="s">
        <v>31</v>
      </c>
      <c r="B58">
        <v>1.0960000000000001</v>
      </c>
    </row>
    <row r="60" spans="1:4" x14ac:dyDescent="0.25">
      <c r="A60" t="s">
        <v>15</v>
      </c>
      <c r="B60">
        <f>B52+B55+B56-B57+(B53-B54)</f>
        <v>132956.32</v>
      </c>
      <c r="C60" t="s">
        <v>41</v>
      </c>
    </row>
    <row r="61" spans="1:4" x14ac:dyDescent="0.25">
      <c r="A61" t="s">
        <v>16</v>
      </c>
      <c r="B61">
        <f>C52+C55+C56-C57+C53-C54</f>
        <v>219897.89999999997</v>
      </c>
      <c r="C61" t="s">
        <v>41</v>
      </c>
    </row>
    <row r="62" spans="1:4" x14ac:dyDescent="0.25">
      <c r="A62" t="s">
        <v>51</v>
      </c>
      <c r="B62">
        <f>B61/B60</f>
        <v>1.6539108483146943</v>
      </c>
      <c r="C62" s="6">
        <v>1.6538999999999999</v>
      </c>
      <c r="D62" t="s">
        <v>25</v>
      </c>
    </row>
    <row r="64" spans="1:4" x14ac:dyDescent="0.25">
      <c r="A64" t="s">
        <v>52</v>
      </c>
      <c r="B64">
        <f>B60</f>
        <v>132956.32</v>
      </c>
      <c r="C64" t="s">
        <v>41</v>
      </c>
    </row>
    <row r="65" spans="1:4" x14ac:dyDescent="0.25">
      <c r="A65" t="s">
        <v>53</v>
      </c>
      <c r="B65">
        <f>B61/B58</f>
        <v>200636.77007299266</v>
      </c>
      <c r="C65" t="s">
        <v>41</v>
      </c>
    </row>
    <row r="66" spans="1:4" x14ac:dyDescent="0.25">
      <c r="A66" t="s">
        <v>43</v>
      </c>
      <c r="B66">
        <f>B65/B64</f>
        <v>1.5090427448126771</v>
      </c>
      <c r="C66" t="s">
        <v>58</v>
      </c>
      <c r="D66" t="s">
        <v>27</v>
      </c>
    </row>
  </sheetData>
  <pageMargins left="0.7" right="0.7" top="0.75" bottom="0.75" header="0.3" footer="0.3"/>
  <ignoredErrors>
    <ignoredError sqref="B33:C33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Foi de lucru</vt:lpstr>
      </vt:variant>
      <vt:variant>
        <vt:i4>1</vt:i4>
      </vt:variant>
    </vt:vector>
  </HeadingPairs>
  <TitlesOfParts>
    <vt:vector size="1" baseType="lpstr">
      <vt:lpstr>Foaie1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SBudes</dc:creator>
  <cp:lastModifiedBy>SBudes</cp:lastModifiedBy>
  <dcterms:created xsi:type="dcterms:W3CDTF">2025-12-18T15:26:09Z</dcterms:created>
  <dcterms:modified xsi:type="dcterms:W3CDTF">2025-12-18T23:30:24Z</dcterms:modified>
</cp:coreProperties>
</file>