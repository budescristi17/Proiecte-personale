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RISTI\"/>
    </mc:Choice>
  </mc:AlternateContent>
  <xr:revisionPtr revIDLastSave="0" documentId="13_ncr:1_{97960BA9-F728-4B49-B962-C9557B9A068C}" xr6:coauthVersionLast="47" xr6:coauthVersionMax="47" xr10:uidLastSave="{00000000-0000-0000-0000-000000000000}"/>
  <bookViews>
    <workbookView xWindow="-108" yWindow="-108" windowWidth="30936" windowHeight="16776" xr2:uid="{00000000-000D-0000-FFFF-FFFF00000000}"/>
  </bookViews>
  <sheets>
    <sheet name="Sheet 1" sheetId="4" r:id="rId1"/>
  </sheets>
  <calcPr calcId="191029"/>
</workbook>
</file>

<file path=xl/calcChain.xml><?xml version="1.0" encoding="utf-8"?>
<calcChain xmlns="http://schemas.openxmlformats.org/spreadsheetml/2006/main">
  <c r="C53" i="4" l="1"/>
  <c r="B20" i="4"/>
  <c r="F57" i="4"/>
  <c r="B21" i="4"/>
  <c r="I4" i="4" s="1"/>
  <c r="B39" i="4"/>
  <c r="B34" i="4"/>
  <c r="B38" i="4"/>
  <c r="B33" i="4"/>
  <c r="B13" i="4"/>
  <c r="B9" i="4"/>
  <c r="B12" i="4"/>
  <c r="B8" i="4"/>
  <c r="B11" i="4"/>
  <c r="B7" i="4"/>
  <c r="B26" i="4"/>
  <c r="B22" i="4"/>
  <c r="I5" i="4" s="1"/>
  <c r="B25" i="4"/>
  <c r="B24" i="4"/>
  <c r="I3" i="4"/>
  <c r="R5" i="4"/>
  <c r="Q5" i="4"/>
  <c r="P5" i="4"/>
  <c r="O5" i="4"/>
  <c r="N5" i="4"/>
  <c r="R4" i="4"/>
  <c r="Q4" i="4"/>
  <c r="P4" i="4"/>
  <c r="O4" i="4"/>
  <c r="N4" i="4"/>
  <c r="R3" i="4"/>
  <c r="Q3" i="4"/>
  <c r="P3" i="4"/>
  <c r="O3" i="4"/>
  <c r="N3" i="4"/>
  <c r="B16" i="4" l="1"/>
  <c r="B28" i="4"/>
  <c r="B43" i="4"/>
  <c r="F56" i="4"/>
  <c r="B30" i="4"/>
  <c r="B17" i="4"/>
  <c r="F50" i="4"/>
  <c r="F51" i="4"/>
  <c r="F52" i="4"/>
  <c r="B29" i="4"/>
  <c r="B35" i="4"/>
  <c r="B15" i="4"/>
  <c r="B40" i="4"/>
  <c r="B47" i="4"/>
  <c r="B46" i="4"/>
  <c r="C58" i="4" l="1"/>
</calcChain>
</file>

<file path=xl/sharedStrings.xml><?xml version="1.0" encoding="utf-8"?>
<sst xmlns="http://schemas.openxmlformats.org/spreadsheetml/2006/main" count="112" uniqueCount="84">
  <si>
    <t>IPC</t>
  </si>
  <si>
    <t>NR Salariati</t>
  </si>
  <si>
    <t>ΔPIB</t>
  </si>
  <si>
    <t>ΔPIB nr salariati</t>
  </si>
  <si>
    <t>ΔPIB productivitate</t>
  </si>
  <si>
    <t>ΔPIB fonduri fixe</t>
  </si>
  <si>
    <t>ΔPIB eficienta</t>
  </si>
  <si>
    <t>PB</t>
  </si>
  <si>
    <t>PC</t>
  </si>
  <si>
    <t>tot=119,54</t>
  </si>
  <si>
    <t>EF0*FF1</t>
  </si>
  <si>
    <t>Horeca</t>
  </si>
  <si>
    <t>Const</t>
  </si>
  <si>
    <t>Indust</t>
  </si>
  <si>
    <t>b)</t>
  </si>
  <si>
    <t>f)</t>
  </si>
  <si>
    <t>EFh0</t>
  </si>
  <si>
    <t>EFh1</t>
  </si>
  <si>
    <t>iEFh</t>
  </si>
  <si>
    <t>IEF(EF)</t>
  </si>
  <si>
    <t>EFc0</t>
  </si>
  <si>
    <t>EFc1</t>
  </si>
  <si>
    <t>iEFc</t>
  </si>
  <si>
    <t>IEF(FF)</t>
  </si>
  <si>
    <t>EFi0</t>
  </si>
  <si>
    <t>EFi1</t>
  </si>
  <si>
    <t>iEFi</t>
  </si>
  <si>
    <t>a)</t>
  </si>
  <si>
    <t>e)</t>
  </si>
  <si>
    <t>Wh0</t>
  </si>
  <si>
    <t>Wh1</t>
  </si>
  <si>
    <t>iwh</t>
  </si>
  <si>
    <t>IW</t>
  </si>
  <si>
    <t>Wc0</t>
  </si>
  <si>
    <t>wc1</t>
  </si>
  <si>
    <t>iwc</t>
  </si>
  <si>
    <t>Wi0</t>
  </si>
  <si>
    <t>wi1</t>
  </si>
  <si>
    <t>iwi</t>
  </si>
  <si>
    <t>c)</t>
  </si>
  <si>
    <t>d)</t>
  </si>
  <si>
    <t>g)</t>
  </si>
  <si>
    <t>Wt0</t>
  </si>
  <si>
    <t>EFt0</t>
  </si>
  <si>
    <t>Wt1</t>
  </si>
  <si>
    <t>EFt1</t>
  </si>
  <si>
    <t>iwt</t>
  </si>
  <si>
    <t>iEFt</t>
  </si>
  <si>
    <t>Descompunerea in functie de salariati</t>
  </si>
  <si>
    <t>Descompunerea in functie de productivitate</t>
  </si>
  <si>
    <t>h)</t>
  </si>
  <si>
    <t>Descompunerea in functie de FF</t>
  </si>
  <si>
    <t>Descompunerea in functie de eficienta</t>
  </si>
  <si>
    <t>Total ΔPIB</t>
  </si>
  <si>
    <t>Verificare:</t>
  </si>
  <si>
    <t>mii lei/angajat</t>
  </si>
  <si>
    <t>ei VAB/lei FF</t>
  </si>
  <si>
    <t>lei VAB/lei FF</t>
  </si>
  <si>
    <t>mil. Lei</t>
  </si>
  <si>
    <t>În perioada de bază (2020), productivitatea muncii în sectorul Construcții este de 100,76 milioane lei raportat la 1000 persoane. 1000 salariați au produs 100,76 milioane lei, iar un salariat a produs 100 760 lei.</t>
  </si>
  <si>
    <t>În perioada de bază (2020), productivitatea muncii în sectorul Horeca este de 868,73 milioane lei raportat la 1000 persoane.1000 salariați au produs 868,73 milioane lei, iar un salariat a produs 868 730 lei.</t>
  </si>
  <si>
    <t>În perioada de bază (2020), productivitatea muncii în sectorul Industrie este de 185,62 milioane lei raportat la 1000 persoane.1000 salariați au produs 185,62 milioane lei, iar un salariat a produs 185 620 lei.</t>
  </si>
  <si>
    <t>În perioada curentă (2022), productivitatea muncii în sectorul Horeca este de 940,41 milioane lei raportat la 1000 persoane. 1000 salariați au produs 940,41 milioane lei, iar un salariat a produs 940 410 lei.</t>
  </si>
  <si>
    <t>În perioada curentă (2022), productivitatea muncii în sectorul Construcții este de 103,46 milioane lei raportat la 1000 persoane. 1000 salariați au produs 103,46 milioane lei, iar un salariat a produs 103 460 lei.</t>
  </si>
  <si>
    <t>În perioada curentă (2022), productivitatea muncii în sectorul Industrie este de 328,87 milioane lei raportat la 1000 persoane.1000 salariați au produs 328,87 milioane lei, iar un salariat a produs 328 870 lei.</t>
  </si>
  <si>
    <t>Perioada de bază (2020), eficiența fondurilor fixe în sectorul Horeca este de 21,23 milioane lei raportat la 1000 lei capital fix.1000 lei capital fix au generat 21,23 milioane lei VAB (1 leu de capital fix a generat 21,23 lei VAB).</t>
  </si>
  <si>
    <t>În perioada curentă (2022), eficiența fondurilor fixe este de 20,21 milioane lei raportat la 1000 lei capital fix.1000 lei capital fix au generat 20,21 milioane lei VAB (1 leu de capital fix a generat 20,21 lei VAB).</t>
  </si>
  <si>
    <t>În perioada de bază (2020), eficiența fondurilor fixe este de 5,06 milioane lei raportat la 1000 lei capital fix.1000 lei capital fix au generat 5,06 milioane lei VAB (1 leu capital fix → 5,06 lei VAB)</t>
  </si>
  <si>
    <t>În perioada curentă (2022), eficiența fondurilor fixe este de 4,45 milioane lei raportat la 1000 lei capital fix.1000 lei capital fix au generat 4,45 milioane lei VAB (1 leu capital fix → 4,45 lei VAB).</t>
  </si>
  <si>
    <t>În perioada de bază (2020), eficiența fondurilor fixe este de 12,02 milioane lei raportat la 1000 lei capital fix.1000 lei capital fix au generat 12,02 milioane lei VAB (1 leu capital fix → 12,02 lei VAB).</t>
  </si>
  <si>
    <t>În perioada curentă (2022), eficiența fondurilor fixe este de 4,18 milioane lei raportat la 1000 lei capital fix.1000 lei capital fix au generat 4,18 milioane lei VAB (1 leu capital fix → 4,18 lei VAB).</t>
  </si>
  <si>
    <t>În perioada de bază (2020), productivitatea totală a economiei este de 229,89 milioane lei raportat la 1000 persoane.1000 salariați au produs 229,89 milioane lei, iar un salariat a produs 229 890 lei.</t>
  </si>
  <si>
    <t>În perioada curentă (2022), productivitatea totală este de 371,49 milioane lei raportat la 1000 persoane.1000 salariați au produs 371,49 milioane lei, iar un salariat a produs 371 490 lei.</t>
  </si>
  <si>
    <t>În perioada de bază (2020), eficiența totală a fondurilor fixe este de 11,50 milioane lei raportat la 1000 lei capital fix.1000 lei capital fix au generat 11,50 milioane lei VAB (1 leu capital fix → 11,50 lei VAB).</t>
  </si>
  <si>
    <t>În perioada curentă (2022), eficiența totală este de 6,05 milioane lei raportat la 1000 lei capital fix.1000 lei capital fix au generat 6,05 milioane lei VAB (1 leu capital fix → 6,05 lei VAB).</t>
  </si>
  <si>
    <t>Productivitatea efectivă a ramurilor a crescut cu 39,81%.</t>
  </si>
  <si>
    <t>Eficiența tehnică a capitalului fix în sectoare a scăzut cu 48,92%.Sectorial, capitalul a produs mult mai puțin VAB per leu investiție.</t>
  </si>
  <si>
    <t>Structura fondurilor fixe între sectoare a crescut cu 3,07%, compensând ușor scăderea.</t>
  </si>
  <si>
    <t>Între 2020 și 2022, PIB-ul a crescut cu 14.007,7 milioane lei, creștere care se explică prin contribuția de 2.241,13 milioane lei determinată de modificarea numărului de salariați și prin contribuția de 11.766,56 milioane lei generată de creșterea productivității muncii.</t>
  </si>
  <si>
    <t>Între 2020 și 2022, modificarea PIB-ului în funcție de variația fondurilor fixe și de eficiența acestora arată o contribuție pozitivă de 49.082,95 milioane lei provenită din volumul fondurilor fixe și o contribuție negativă de –35.075,25 milioane lei determinată de schimbarea eficienței capitalului, aceste două componente însumând creșterea totală de 14.007,7 milioane lei.</t>
  </si>
  <si>
    <t>populatia(mii persoane)</t>
  </si>
  <si>
    <t>VAB(milioane lei)</t>
  </si>
  <si>
    <t>PIB(milioane lei)</t>
  </si>
  <si>
    <t>Inv Brute(milioane lei)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</si>
</sst>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2" xfId="0" applyBorder="1"/>
    <xf numFmtId="0" fontId="0" fillId="0" borderId="0" xfId="0" applyAlignment="1">
      <alignment horizontal="right"/>
    </xf>
    <xf numFmtId="0" fontId="1" fillId="0" borderId="1" xfId="0" applyFont="1" applyBorder="1"/>
    <xf numFmtId="0" fontId="0" fillId="0" borderId="3" xfId="0" applyBorder="1"/>
    <xf numFmtId="0" fontId="0" fillId="0" borderId="0" xfId="0" applyAlignment="1">
      <alignment horizontal="left"/>
    </xf>
    <xf numFmtId="0" fontId="0" fillId="0" borderId="1" xfId="0" applyBorder="1" applyAlignment="1">
      <alignment horizontal="center"/>
    </xf>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8"/>
  <sheetViews>
    <sheetView tabSelected="1" zoomScale="60" zoomScaleNormal="60" workbookViewId="0">
      <selection activeCell="F1" sqref="F1:G1"/>
    </sheetView>
  </sheetViews>
  <sheetFormatPr defaultRowHeight="15.6" x14ac:dyDescent="0.3"/>
  <cols>
    <col min="2" max="2" width="9.796875" customWidth="1"/>
    <col min="6" max="6" width="12.09765625" customWidth="1"/>
    <col min="7" max="7" width="11.3984375" customWidth="1"/>
    <col min="8" max="8" width="9.5" customWidth="1"/>
    <col min="9" max="9" width="11.8984375" bestFit="1" customWidth="1"/>
    <col min="12" max="12" width="9.09765625" customWidth="1"/>
    <col min="15" max="15" width="16.796875" customWidth="1"/>
    <col min="16" max="16" width="24.69921875" customWidth="1"/>
    <col min="17" max="17" width="21.8984375" customWidth="1"/>
    <col min="18" max="18" width="18.3984375" customWidth="1"/>
    <col min="19" max="19" width="17" customWidth="1"/>
  </cols>
  <sheetData>
    <row r="1" spans="1:18" x14ac:dyDescent="0.3">
      <c r="B1" s="7" t="s">
        <v>80</v>
      </c>
      <c r="C1" s="8"/>
      <c r="D1" s="7" t="s">
        <v>81</v>
      </c>
      <c r="E1" s="8"/>
      <c r="F1" s="7" t="s">
        <v>83</v>
      </c>
      <c r="G1" s="8"/>
      <c r="H1" s="1" t="s">
        <v>0</v>
      </c>
      <c r="J1" s="7" t="s">
        <v>82</v>
      </c>
      <c r="K1" s="8"/>
      <c r="L1" s="7" t="s">
        <v>1</v>
      </c>
      <c r="M1" s="8"/>
      <c r="N1" s="1" t="s">
        <v>2</v>
      </c>
      <c r="O1" s="1" t="s">
        <v>3</v>
      </c>
      <c r="P1" s="1" t="s">
        <v>4</v>
      </c>
      <c r="Q1" s="1" t="s">
        <v>5</v>
      </c>
      <c r="R1" s="1" t="s">
        <v>6</v>
      </c>
    </row>
    <row r="2" spans="1:18" x14ac:dyDescent="0.3">
      <c r="B2" s="1" t="s">
        <v>7</v>
      </c>
      <c r="C2" s="1" t="s">
        <v>8</v>
      </c>
      <c r="D2" s="1" t="s">
        <v>7</v>
      </c>
      <c r="E2" s="1" t="s">
        <v>8</v>
      </c>
      <c r="F2" s="1" t="s">
        <v>7</v>
      </c>
      <c r="G2" s="1" t="s">
        <v>8</v>
      </c>
      <c r="H2" s="4" t="s">
        <v>9</v>
      </c>
      <c r="I2" s="5" t="s">
        <v>10</v>
      </c>
      <c r="J2" s="1" t="s">
        <v>7</v>
      </c>
      <c r="K2" s="5" t="s">
        <v>8</v>
      </c>
      <c r="L2" s="1" t="s">
        <v>7</v>
      </c>
      <c r="M2" s="1" t="s">
        <v>8</v>
      </c>
      <c r="N2" s="1"/>
      <c r="O2" s="1"/>
      <c r="P2" s="1"/>
      <c r="Q2" s="1"/>
      <c r="R2" s="1"/>
    </row>
    <row r="3" spans="1:18" x14ac:dyDescent="0.3">
      <c r="A3" s="1" t="s">
        <v>11</v>
      </c>
      <c r="B3" s="1">
        <v>11</v>
      </c>
      <c r="C3" s="1">
        <v>12.4</v>
      </c>
      <c r="D3" s="1">
        <v>9556</v>
      </c>
      <c r="E3" s="1">
        <v>13928</v>
      </c>
      <c r="F3" s="1">
        <v>450</v>
      </c>
      <c r="G3" s="1">
        <v>689</v>
      </c>
      <c r="H3" s="4">
        <v>119.44</v>
      </c>
      <c r="I3" s="5">
        <f>B20*G3</f>
        <v>14631.297777777778</v>
      </c>
      <c r="J3" s="1">
        <v>38906.1</v>
      </c>
      <c r="K3" s="5">
        <v>56512.7</v>
      </c>
      <c r="L3" s="1">
        <v>10983</v>
      </c>
      <c r="M3" s="1">
        <v>13616</v>
      </c>
      <c r="N3" s="1">
        <f>E3-D3</f>
        <v>4372</v>
      </c>
      <c r="O3" s="1">
        <f>(D3/L3)*M3-D3</f>
        <v>2290.8993899663128</v>
      </c>
      <c r="P3" s="1">
        <f>E3-(D3/L3)*M3</f>
        <v>2081.1006100336872</v>
      </c>
      <c r="Q3" s="1">
        <f>((D3/F3)*G3)-D3</f>
        <v>5075.2977777777778</v>
      </c>
      <c r="R3" s="1">
        <f>E3-((D3/F3)*G3)</f>
        <v>-703.29777777777781</v>
      </c>
    </row>
    <row r="4" spans="1:18" x14ac:dyDescent="0.3">
      <c r="A4" s="1" t="s">
        <v>12</v>
      </c>
      <c r="B4" s="1">
        <v>37.200000000000003</v>
      </c>
      <c r="C4" s="1">
        <v>36.9</v>
      </c>
      <c r="D4" s="1">
        <v>3748.1</v>
      </c>
      <c r="E4" s="1">
        <v>4690.6000000000004</v>
      </c>
      <c r="F4" s="1">
        <v>741</v>
      </c>
      <c r="G4" s="1">
        <v>1053</v>
      </c>
      <c r="H4" s="4">
        <v>122.87</v>
      </c>
      <c r="I4" s="1">
        <f>B21*G4</f>
        <v>5326.2473684210527</v>
      </c>
      <c r="L4" s="1">
        <v>16071</v>
      </c>
      <c r="M4" s="1">
        <v>17042</v>
      </c>
      <c r="N4" s="1">
        <f>E4-D4</f>
        <v>942.50000000000045</v>
      </c>
      <c r="O4" s="1">
        <f>(D4/L4)*M4-D4</f>
        <v>226.4579117665362</v>
      </c>
      <c r="P4" s="1">
        <f>E4-(D4/L4)*M4</f>
        <v>716.04208823346426</v>
      </c>
      <c r="Q4" s="1">
        <f>((D4/F4)*G4)-D4</f>
        <v>1578.1473684210528</v>
      </c>
      <c r="R4" s="1">
        <f>E4-((D4/F4)*G4)</f>
        <v>-635.64736842105231</v>
      </c>
    </row>
    <row r="5" spans="1:18" x14ac:dyDescent="0.3">
      <c r="A5" s="1" t="s">
        <v>13</v>
      </c>
      <c r="B5" s="1">
        <v>50.2</v>
      </c>
      <c r="C5" s="1">
        <v>49.3</v>
      </c>
      <c r="D5" s="1">
        <v>9317.9</v>
      </c>
      <c r="E5" s="1">
        <v>18011.099999999999</v>
      </c>
      <c r="F5" s="1">
        <v>775</v>
      </c>
      <c r="G5" s="1">
        <v>4304</v>
      </c>
      <c r="H5" s="4">
        <v>111.09</v>
      </c>
      <c r="I5" s="1">
        <f>B22*G5</f>
        <v>51747.408516129028</v>
      </c>
      <c r="L5" s="1">
        <v>35049</v>
      </c>
      <c r="M5" s="1">
        <v>34010</v>
      </c>
      <c r="N5" s="1">
        <f>E5-D5</f>
        <v>8693.1999999999989</v>
      </c>
      <c r="O5" s="1">
        <f>(D5/L5)*M5-D5</f>
        <v>-276.22180661359744</v>
      </c>
      <c r="P5" s="1">
        <f>E5-(D5/L5)*M5</f>
        <v>8969.4218066135963</v>
      </c>
      <c r="Q5" s="1">
        <f>((D5/F5)*G5)-D5</f>
        <v>42429.508516129026</v>
      </c>
      <c r="R5" s="1">
        <f>E5-((D5/F5)*G5)</f>
        <v>-33736.308516129029</v>
      </c>
    </row>
    <row r="6" spans="1:18" x14ac:dyDescent="0.3">
      <c r="A6" s="3" t="s">
        <v>27</v>
      </c>
    </row>
    <row r="7" spans="1:18" x14ac:dyDescent="0.3">
      <c r="A7" s="3" t="s">
        <v>29</v>
      </c>
      <c r="B7">
        <f>D3/B3</f>
        <v>868.72727272727275</v>
      </c>
      <c r="C7" t="s">
        <v>55</v>
      </c>
      <c r="E7" t="s">
        <v>60</v>
      </c>
    </row>
    <row r="8" spans="1:18" x14ac:dyDescent="0.3">
      <c r="A8" s="3" t="s">
        <v>33</v>
      </c>
      <c r="B8">
        <f>D4/B4</f>
        <v>100.75537634408602</v>
      </c>
      <c r="C8" t="s">
        <v>55</v>
      </c>
      <c r="E8" t="s">
        <v>59</v>
      </c>
    </row>
    <row r="9" spans="1:18" x14ac:dyDescent="0.3">
      <c r="A9" s="3" t="s">
        <v>36</v>
      </c>
      <c r="B9">
        <f>D5/B5</f>
        <v>185.61553784860556</v>
      </c>
      <c r="C9" t="s">
        <v>55</v>
      </c>
      <c r="E9" t="s">
        <v>61</v>
      </c>
    </row>
    <row r="11" spans="1:18" x14ac:dyDescent="0.3">
      <c r="A11" s="3" t="s">
        <v>30</v>
      </c>
      <c r="B11">
        <f>(E3/(H3/100))/C3</f>
        <v>940.41008577663501</v>
      </c>
      <c r="C11" t="s">
        <v>55</v>
      </c>
      <c r="E11" t="s">
        <v>62</v>
      </c>
    </row>
    <row r="12" spans="1:18" x14ac:dyDescent="0.3">
      <c r="A12" s="3" t="s">
        <v>34</v>
      </c>
      <c r="B12">
        <f>(E4/(H4/100))/C4</f>
        <v>103.45611716880578</v>
      </c>
      <c r="C12" t="s">
        <v>55</v>
      </c>
      <c r="E12" t="s">
        <v>63</v>
      </c>
    </row>
    <row r="13" spans="1:18" x14ac:dyDescent="0.3">
      <c r="A13" s="3" t="s">
        <v>37</v>
      </c>
      <c r="B13">
        <f>(E5/(H5/100))/C5</f>
        <v>328.86552704648767</v>
      </c>
      <c r="C13" t="s">
        <v>55</v>
      </c>
      <c r="E13" t="s">
        <v>64</v>
      </c>
    </row>
    <row r="15" spans="1:18" x14ac:dyDescent="0.3">
      <c r="A15" s="3" t="s">
        <v>31</v>
      </c>
      <c r="B15">
        <f>B11/B7</f>
        <v>1.082514749219651</v>
      </c>
    </row>
    <row r="16" spans="1:18" x14ac:dyDescent="0.3">
      <c r="A16" s="3" t="s">
        <v>35</v>
      </c>
      <c r="B16">
        <f>B12/B8</f>
        <v>1.0268049301458273</v>
      </c>
    </row>
    <row r="17" spans="1:5" x14ac:dyDescent="0.3">
      <c r="A17" s="3" t="s">
        <v>38</v>
      </c>
      <c r="B17">
        <f>B13/B9</f>
        <v>1.7717564534641586</v>
      </c>
    </row>
    <row r="19" spans="1:5" x14ac:dyDescent="0.3">
      <c r="A19" s="2" t="s">
        <v>14</v>
      </c>
    </row>
    <row r="20" spans="1:5" x14ac:dyDescent="0.3">
      <c r="A20" s="3" t="s">
        <v>16</v>
      </c>
      <c r="B20">
        <f>D3/F3</f>
        <v>21.235555555555557</v>
      </c>
      <c r="C20" t="s">
        <v>56</v>
      </c>
      <c r="E20" t="s">
        <v>65</v>
      </c>
    </row>
    <row r="21" spans="1:5" x14ac:dyDescent="0.3">
      <c r="A21" s="3" t="s">
        <v>20</v>
      </c>
      <c r="B21">
        <f>D4/F4</f>
        <v>5.0581646423751687</v>
      </c>
      <c r="C21" t="s">
        <v>56</v>
      </c>
      <c r="E21" t="s">
        <v>67</v>
      </c>
    </row>
    <row r="22" spans="1:5" x14ac:dyDescent="0.3">
      <c r="A22" s="3" t="s">
        <v>24</v>
      </c>
      <c r="B22">
        <f>D5/F5</f>
        <v>12.023096774193547</v>
      </c>
      <c r="C22" t="s">
        <v>56</v>
      </c>
      <c r="E22" t="s">
        <v>69</v>
      </c>
    </row>
    <row r="24" spans="1:5" x14ac:dyDescent="0.3">
      <c r="A24" s="3" t="s">
        <v>17</v>
      </c>
      <c r="B24">
        <f>E3/G3</f>
        <v>20.214804063860669</v>
      </c>
      <c r="C24" t="s">
        <v>56</v>
      </c>
      <c r="E24" t="s">
        <v>66</v>
      </c>
    </row>
    <row r="25" spans="1:5" x14ac:dyDescent="0.3">
      <c r="A25" s="3" t="s">
        <v>21</v>
      </c>
      <c r="B25">
        <f>E4/G4</f>
        <v>4.4545109211775884</v>
      </c>
      <c r="C25" t="s">
        <v>56</v>
      </c>
      <c r="E25" t="s">
        <v>68</v>
      </c>
    </row>
    <row r="26" spans="1:5" x14ac:dyDescent="0.3">
      <c r="A26" s="3" t="s">
        <v>25</v>
      </c>
      <c r="B26">
        <f>E5/G5</f>
        <v>4.1847351301115241</v>
      </c>
      <c r="C26" t="s">
        <v>56</v>
      </c>
      <c r="E26" t="s">
        <v>70</v>
      </c>
    </row>
    <row r="28" spans="1:5" x14ac:dyDescent="0.3">
      <c r="A28" s="3" t="s">
        <v>18</v>
      </c>
      <c r="B28">
        <f>B24/B20</f>
        <v>0.95193196198590413</v>
      </c>
    </row>
    <row r="29" spans="1:5" x14ac:dyDescent="0.3">
      <c r="A29" s="3" t="s">
        <v>22</v>
      </c>
      <c r="B29">
        <f>B25/B21</f>
        <v>0.88065755785400412</v>
      </c>
    </row>
    <row r="30" spans="1:5" x14ac:dyDescent="0.3">
      <c r="A30" s="3" t="s">
        <v>26</v>
      </c>
      <c r="B30">
        <f>B26/B22</f>
        <v>0.34805800940516979</v>
      </c>
    </row>
    <row r="32" spans="1:5" x14ac:dyDescent="0.3">
      <c r="A32" s="6" t="s">
        <v>39</v>
      </c>
    </row>
    <row r="33" spans="1:6" x14ac:dyDescent="0.3">
      <c r="A33" s="3" t="s">
        <v>42</v>
      </c>
      <c r="B33">
        <f>SUM(D3:D5)/SUM(B3:B5)</f>
        <v>229.89837398373982</v>
      </c>
      <c r="C33" t="s">
        <v>55</v>
      </c>
      <c r="F33" t="s">
        <v>71</v>
      </c>
    </row>
    <row r="34" spans="1:6" x14ac:dyDescent="0.3">
      <c r="A34" s="3" t="s">
        <v>44</v>
      </c>
      <c r="B34">
        <f>SUM(E3:E5)/SUM(C3:C5)</f>
        <v>371.49797160243406</v>
      </c>
      <c r="C34" t="s">
        <v>55</v>
      </c>
      <c r="F34" t="s">
        <v>72</v>
      </c>
    </row>
    <row r="35" spans="1:6" x14ac:dyDescent="0.3">
      <c r="A35" s="3" t="s">
        <v>46</v>
      </c>
      <c r="B35">
        <f>B34/B33</f>
        <v>1.6159225711996956</v>
      </c>
    </row>
    <row r="37" spans="1:6" x14ac:dyDescent="0.3">
      <c r="A37" t="s">
        <v>40</v>
      </c>
    </row>
    <row r="38" spans="1:6" x14ac:dyDescent="0.3">
      <c r="A38" t="s">
        <v>43</v>
      </c>
      <c r="B38">
        <f>SUM(D3:D5)/SUM('Sheet 1'!F3:F5)</f>
        <v>11.506612410986776</v>
      </c>
      <c r="C38" t="s">
        <v>57</v>
      </c>
      <c r="F38" t="s">
        <v>73</v>
      </c>
    </row>
    <row r="39" spans="1:6" x14ac:dyDescent="0.3">
      <c r="A39" t="s">
        <v>45</v>
      </c>
      <c r="B39">
        <f>SUM(E3:E5)/SUM(G3:G5)</f>
        <v>6.0585014885874955</v>
      </c>
      <c r="C39" t="s">
        <v>57</v>
      </c>
      <c r="F39" t="s">
        <v>74</v>
      </c>
    </row>
    <row r="40" spans="1:6" x14ac:dyDescent="0.3">
      <c r="A40" t="s">
        <v>47</v>
      </c>
      <c r="B40">
        <f>B39/B38</f>
        <v>0.52652346947940132</v>
      </c>
    </row>
    <row r="42" spans="1:6" x14ac:dyDescent="0.3">
      <c r="A42" t="s">
        <v>28</v>
      </c>
    </row>
    <row r="43" spans="1:6" x14ac:dyDescent="0.3">
      <c r="A43" t="s">
        <v>32</v>
      </c>
      <c r="B43">
        <f>(SUMPRODUCT(B11:B13,C3:C5)/SUM(C3:C5))/(SUMPRODUCT(B7:B9,B3:B5)/SUM(B3:B5))</f>
        <v>1.3980816431464891</v>
      </c>
      <c r="D43" t="s">
        <v>75</v>
      </c>
    </row>
    <row r="45" spans="1:6" x14ac:dyDescent="0.3">
      <c r="A45" t="s">
        <v>15</v>
      </c>
    </row>
    <row r="46" spans="1:6" x14ac:dyDescent="0.3">
      <c r="A46" t="s">
        <v>19</v>
      </c>
      <c r="B46">
        <f>B39/(SUM(I3:I5)/SUM(G3:G5))</f>
        <v>0.51083918375425164</v>
      </c>
      <c r="D46" t="s">
        <v>76</v>
      </c>
    </row>
    <row r="47" spans="1:6" x14ac:dyDescent="0.3">
      <c r="A47" t="s">
        <v>23</v>
      </c>
      <c r="B47">
        <f>(SUM(I3:I5)/SUM(G3:G5))/B38</f>
        <v>1.0307029809457506</v>
      </c>
      <c r="D47" t="s">
        <v>77</v>
      </c>
    </row>
    <row r="50" spans="1:9" x14ac:dyDescent="0.3">
      <c r="A50" t="s">
        <v>41</v>
      </c>
      <c r="B50" t="s">
        <v>53</v>
      </c>
      <c r="F50">
        <f>SUM(N3:N5)</f>
        <v>14007.699999999999</v>
      </c>
      <c r="G50" s="3" t="s">
        <v>58</v>
      </c>
      <c r="I50" t="s">
        <v>78</v>
      </c>
    </row>
    <row r="51" spans="1:9" x14ac:dyDescent="0.3">
      <c r="B51" t="s">
        <v>48</v>
      </c>
      <c r="F51">
        <f>SUM(O3:O5)</f>
        <v>2241.1354951192516</v>
      </c>
      <c r="G51" s="3" t="s">
        <v>58</v>
      </c>
    </row>
    <row r="52" spans="1:9" x14ac:dyDescent="0.3">
      <c r="B52" t="s">
        <v>49</v>
      </c>
      <c r="F52">
        <f>SUM(P3:P5)</f>
        <v>11766.564504880747</v>
      </c>
      <c r="G52" s="3" t="s">
        <v>58</v>
      </c>
    </row>
    <row r="53" spans="1:9" x14ac:dyDescent="0.3">
      <c r="B53" t="s">
        <v>54</v>
      </c>
      <c r="C53">
        <f>F51+F52</f>
        <v>14007.699999999999</v>
      </c>
      <c r="D53" s="3" t="s">
        <v>58</v>
      </c>
    </row>
    <row r="56" spans="1:9" x14ac:dyDescent="0.3">
      <c r="A56" t="s">
        <v>50</v>
      </c>
      <c r="B56" t="s">
        <v>51</v>
      </c>
      <c r="F56">
        <f>SUM(Q3:Q5)</f>
        <v>49082.953662327855</v>
      </c>
      <c r="G56" s="3" t="s">
        <v>58</v>
      </c>
      <c r="I56" t="s">
        <v>79</v>
      </c>
    </row>
    <row r="57" spans="1:9" x14ac:dyDescent="0.3">
      <c r="B57" t="s">
        <v>52</v>
      </c>
      <c r="F57">
        <f>SUM(R3:R5)</f>
        <v>-35075.253662327857</v>
      </c>
      <c r="G57" s="3" t="s">
        <v>58</v>
      </c>
    </row>
    <row r="58" spans="1:9" x14ac:dyDescent="0.3">
      <c r="B58" t="s">
        <v>54</v>
      </c>
      <c r="C58">
        <f>F56+F57</f>
        <v>14007.699999999997</v>
      </c>
      <c r="D58" s="3" t="s">
        <v>58</v>
      </c>
    </row>
  </sheetData>
  <mergeCells count="5">
    <mergeCell ref="D1:E1"/>
    <mergeCell ref="L1:M1"/>
    <mergeCell ref="J1:K1"/>
    <mergeCell ref="B1:C1"/>
    <mergeCell ref="F1:G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Simona Apostu</dc:creator>
  <cp:lastModifiedBy>budes cristian</cp:lastModifiedBy>
  <dcterms:created xsi:type="dcterms:W3CDTF">2021-11-12T11:44:10Z</dcterms:created>
  <dcterms:modified xsi:type="dcterms:W3CDTF">2025-11-20T18:35:11Z</dcterms:modified>
</cp:coreProperties>
</file>